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ch\Downloads\"/>
    </mc:Choice>
  </mc:AlternateContent>
  <xr:revisionPtr revIDLastSave="0" documentId="13_ncr:1_{F63EEEE5-E61C-46B0-81BC-A28546FEDCEA}" xr6:coauthVersionLast="47" xr6:coauthVersionMax="47" xr10:uidLastSave="{00000000-0000-0000-0000-000000000000}"/>
  <bookViews>
    <workbookView xWindow="-108" yWindow="-108" windowWidth="23256" windowHeight="12456" firstSheet="1" activeTab="7" xr2:uid="{50300578-14F6-4447-AC28-CF518ED1AF5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blacnk" sheetId="6" r:id="rId6"/>
    <sheet name="Sheet9" sheetId="10" r:id="rId7"/>
    <sheet name="Sheet10" sheetId="11" r:id="rId8"/>
  </sheets>
  <calcPr calcId="191029"/>
  <pivotCaches>
    <pivotCache cacheId="0" r:id="rId9"/>
    <pivotCache cacheId="1" r:id="rId10"/>
    <pivotCache cacheId="2" r:id="rId11"/>
    <pivotCache cacheId="3" r:id="rId12"/>
    <pivotCache cacheId="4" r:id="rId13"/>
    <pivotCache cacheId="2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1" l="1"/>
  <c r="G11" i="11"/>
  <c r="G8" i="11"/>
  <c r="G5" i="11"/>
</calcChain>
</file>

<file path=xl/sharedStrings.xml><?xml version="1.0" encoding="utf-8"?>
<sst xmlns="http://schemas.openxmlformats.org/spreadsheetml/2006/main" count="388" uniqueCount="116">
  <si>
    <t>Make</t>
  </si>
  <si>
    <t>Model</t>
  </si>
  <si>
    <t>Color</t>
  </si>
  <si>
    <t>Mileage</t>
  </si>
  <si>
    <t>Sell Price</t>
  </si>
  <si>
    <t>Buy Price</t>
  </si>
  <si>
    <t>Honda</t>
  </si>
  <si>
    <t>Accord</t>
  </si>
  <si>
    <t>Red</t>
  </si>
  <si>
    <t>Blue</t>
  </si>
  <si>
    <t>Toyota</t>
  </si>
  <si>
    <t>Camry</t>
  </si>
  <si>
    <t>Black</t>
  </si>
  <si>
    <t>Nissan</t>
  </si>
  <si>
    <t>Altima</t>
  </si>
  <si>
    <t>Green</t>
  </si>
  <si>
    <t>Corolla</t>
  </si>
  <si>
    <t>Civic</t>
  </si>
  <si>
    <t>White</t>
  </si>
  <si>
    <t>Ford</t>
  </si>
  <si>
    <t>F-150</t>
  </si>
  <si>
    <t>Chevrolet</t>
  </si>
  <si>
    <t>Silverado</t>
  </si>
  <si>
    <t>Impala</t>
  </si>
  <si>
    <t>Silver</t>
  </si>
  <si>
    <t>Dodge</t>
  </si>
  <si>
    <t>Charger</t>
  </si>
  <si>
    <t>Row Labels</t>
  </si>
  <si>
    <t>Grand Total</t>
  </si>
  <si>
    <t>Count of Make</t>
  </si>
  <si>
    <t>Count of Model</t>
  </si>
  <si>
    <t>Sum of Sell Price</t>
  </si>
  <si>
    <t>Sum of Buy Price</t>
  </si>
  <si>
    <t>Average of Sell Price</t>
  </si>
  <si>
    <t>Average of Buy Price</t>
  </si>
  <si>
    <t>Count of Color</t>
  </si>
  <si>
    <t>Profit Margin</t>
  </si>
  <si>
    <t>Date</t>
  </si>
  <si>
    <t>Region</t>
  </si>
  <si>
    <t>Units</t>
  </si>
  <si>
    <t>Sales</t>
  </si>
  <si>
    <t>West</t>
  </si>
  <si>
    <t>South</t>
  </si>
  <si>
    <t>North</t>
  </si>
  <si>
    <t>East</t>
  </si>
  <si>
    <t>Sum of Units</t>
  </si>
  <si>
    <t>Jan</t>
  </si>
  <si>
    <t>Feb</t>
  </si>
  <si>
    <t>Mar</t>
  </si>
  <si>
    <t>Supplier ID</t>
  </si>
  <si>
    <t>Part Number</t>
  </si>
  <si>
    <t>Part Name</t>
  </si>
  <si>
    <t>Part Price</t>
  </si>
  <si>
    <t>Status</t>
  </si>
  <si>
    <t>SP301</t>
  </si>
  <si>
    <t>A001</t>
  </si>
  <si>
    <t>water pump</t>
  </si>
  <si>
    <t>In</t>
  </si>
  <si>
    <t>SP302</t>
  </si>
  <si>
    <t>A002</t>
  </si>
  <si>
    <t>altenator</t>
  </si>
  <si>
    <t>SP303</t>
  </si>
  <si>
    <t>A003</t>
  </si>
  <si>
    <t>air filter</t>
  </si>
  <si>
    <t>SP304</t>
  </si>
  <si>
    <t>A004</t>
  </si>
  <si>
    <t>wheel bearing</t>
  </si>
  <si>
    <t>In stock</t>
  </si>
  <si>
    <t>SP305</t>
  </si>
  <si>
    <t>A005</t>
  </si>
  <si>
    <t>muffer</t>
  </si>
  <si>
    <t>SP306</t>
  </si>
  <si>
    <t>A006</t>
  </si>
  <si>
    <t>oil pan</t>
  </si>
  <si>
    <t>Out of stock</t>
  </si>
  <si>
    <t>SP307</t>
  </si>
  <si>
    <t>A007</t>
  </si>
  <si>
    <t>brake pads</t>
  </si>
  <si>
    <t>SP308</t>
  </si>
  <si>
    <t>A008</t>
  </si>
  <si>
    <t>brake rotors</t>
  </si>
  <si>
    <t>SP309</t>
  </si>
  <si>
    <t>A009</t>
  </si>
  <si>
    <t>headlight</t>
  </si>
  <si>
    <t>SP310</t>
  </si>
  <si>
    <t>A010</t>
  </si>
  <si>
    <t>brake</t>
  </si>
  <si>
    <t>SP311</t>
  </si>
  <si>
    <t>A011</t>
  </si>
  <si>
    <t>strut</t>
  </si>
  <si>
    <t>SP312</t>
  </si>
  <si>
    <t>A012</t>
  </si>
  <si>
    <t>Drive CV Boot Kit</t>
  </si>
  <si>
    <t>SP313</t>
  </si>
  <si>
    <t>A013</t>
  </si>
  <si>
    <t>Oil Pump</t>
  </si>
  <si>
    <t>SP314</t>
  </si>
  <si>
    <t>A014</t>
  </si>
  <si>
    <t>SP315</t>
  </si>
  <si>
    <t>A015</t>
  </si>
  <si>
    <t>Oil Filter</t>
  </si>
  <si>
    <t>SP316</t>
  </si>
  <si>
    <t>A016</t>
  </si>
  <si>
    <t>Fuel Filter</t>
  </si>
  <si>
    <t>SP317</t>
  </si>
  <si>
    <t>A017</t>
  </si>
  <si>
    <t>Tie Rod End</t>
  </si>
  <si>
    <t>SP318</t>
  </si>
  <si>
    <t>A018</t>
  </si>
  <si>
    <t>Ball Joint Steering</t>
  </si>
  <si>
    <t>SP319</t>
  </si>
  <si>
    <t>A019</t>
  </si>
  <si>
    <t>Rack</t>
  </si>
  <si>
    <t>SP320</t>
  </si>
  <si>
    <t>A020</t>
  </si>
  <si>
    <t>Piston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</si>
</sst>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5499571759" createdVersion="8" refreshedVersion="8" minRefreshableVersion="3" recordCount="11" xr:uid="{242837F8-C507-4568-98B7-80DA2E78D304}">
  <cacheSource type="worksheet">
    <worksheetSource ref="A1:F12" sheet="Sheet1"/>
  </cacheSource>
  <cacheFields count="6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55895833335" createdVersion="8" refreshedVersion="8" minRefreshableVersion="3" recordCount="11" xr:uid="{C0F1AA17-7876-466F-8F63-2CD947C229B7}">
  <cacheSource type="worksheet">
    <worksheetSource ref="A1:F12" sheet="Sheet2"/>
  </cacheSource>
  <cacheFields count="6">
    <cacheField name="Make" numFmtId="0">
      <sharedItems/>
    </cacheField>
    <cacheField name="Model" numFmtId="0">
      <sharedItems count="9">
        <s v="Accord"/>
        <s v="Camry"/>
        <s v="Altima"/>
        <s v="Corolla"/>
        <s v="Civic"/>
        <s v="F-150"/>
        <s v="Silverado"/>
        <s v="Impala"/>
        <s v="Charger"/>
      </sharedItems>
    </cacheField>
    <cacheField name="Color" numFmtId="0">
      <sharedItems/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58174652775" createdVersion="8" refreshedVersion="8" minRefreshableVersion="3" recordCount="11" xr:uid="{0B29B760-E1CD-40AF-88A3-781FD921108B}">
  <cacheSource type="worksheet">
    <worksheetSource ref="A1:F12" sheet="Sheet3"/>
  </cacheSource>
  <cacheFields count="7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 count="9">
        <s v="Accord"/>
        <s v="Camry"/>
        <s v="Altima"/>
        <s v="Corolla"/>
        <s v="Civic"/>
        <s v="F-150"/>
        <s v="Silverado"/>
        <s v="Impala"/>
        <s v="Charger"/>
      </sharedItems>
    </cacheField>
    <cacheField name="Color" numFmtId="0">
      <sharedItems count="6">
        <s v="Red"/>
        <s v="Blue"/>
        <s v="Black"/>
        <s v="Green"/>
        <s v="White"/>
        <s v="Silver"/>
      </sharedItems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 count="11">
        <n v="4000"/>
        <n v="2500"/>
        <n v="45000"/>
        <n v="3826"/>
        <n v="2224"/>
        <n v="2723"/>
        <n v="3950"/>
        <n v="4959"/>
        <n v="3791"/>
        <n v="4349"/>
        <n v="4252"/>
      </sharedItems>
    </cacheField>
    <cacheField name="Buy Price" numFmtId="0">
      <sharedItems containsSemiMixedTypes="0" containsString="0" containsNumber="1" containsInteger="1" minValue="1900" maxValue="44000" count="8">
        <n v="3000"/>
        <n v="2000"/>
        <n v="44000"/>
        <n v="2100"/>
        <n v="1900"/>
        <n v="4500"/>
        <n v="3500"/>
        <n v="4000"/>
      </sharedItems>
    </cacheField>
    <cacheField name="Profit" numFmtId="0" formula="'Sell Price'-'Buy Pric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67888888887" createdVersion="8" refreshedVersion="8" minRefreshableVersion="3" recordCount="11" xr:uid="{5FD69AAA-42AF-4D6B-8C60-D19A0D3889A4}">
  <cacheSource type="worksheet">
    <worksheetSource ref="A1:F12" sheet="Sheet4"/>
  </cacheSource>
  <cacheFields count="6">
    <cacheField name="Make" numFmtId="0">
      <sharedItems count="6">
        <s v="Honda"/>
        <s v="Toyota"/>
        <s v="Nissan"/>
        <s v="Ford"/>
        <s v="Chevrolet"/>
        <s v="Dodge"/>
      </sharedItems>
    </cacheField>
    <cacheField name="Model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569499305559" createdVersion="8" refreshedVersion="8" minRefreshableVersion="3" recordCount="11" xr:uid="{B839622A-C8E5-4E2B-981A-8F98765D6B60}">
  <cacheSource type="worksheet">
    <worksheetSource ref="A1:F12" sheet="Sheet5"/>
  </cacheSource>
  <cacheFields count="6">
    <cacheField name="Make" numFmtId="0">
      <sharedItems/>
    </cacheField>
    <cacheField name="Model" numFmtId="0">
      <sharedItems/>
    </cacheField>
    <cacheField name="Color" numFmtId="0">
      <sharedItems count="6">
        <s v="Red"/>
        <s v="Blue"/>
        <s v="Black"/>
        <s v="Green"/>
        <s v="White"/>
        <s v="Silver"/>
      </sharedItems>
    </cacheField>
    <cacheField name="Mileage" numFmtId="0">
      <sharedItems containsSemiMixedTypes="0" containsString="0" containsNumber="1" containsInteger="1" minValue="34853" maxValue="138789"/>
    </cacheField>
    <cacheField name="Sell Price" numFmtId="0">
      <sharedItems containsSemiMixedTypes="0" containsString="0" containsNumber="1" containsInteger="1" minValue="2224" maxValue="45000"/>
    </cacheField>
    <cacheField name="Buy Price" numFmtId="0">
      <sharedItems containsSemiMixedTypes="0" containsString="0" containsNumber="1" containsInteger="1" minValue="1900" maxValue="4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 Karde" refreshedDate="46089.987958912039" createdVersion="8" refreshedVersion="8" minRefreshableVersion="3" recordCount="10" xr:uid="{000F5B62-B283-4FF6-A0AF-83A988350761}">
  <cacheSource type="worksheet">
    <worksheetSource ref="A1:E11" sheet="Sheet9"/>
  </cacheSource>
  <cacheFields count="7">
    <cacheField name="Date" numFmtId="15">
      <sharedItems containsSemiMixedTypes="0" containsNonDate="0" containsDate="1" containsString="0" minDate="2020-01-03T00:00:00" maxDate="2020-03-24T00:00:00" count="10">
        <d v="2020-01-03T00:00:00"/>
        <d v="2020-01-14T00:00:00"/>
        <d v="2020-01-21T00:00:00"/>
        <d v="2020-01-30T00:00:00"/>
        <d v="2020-02-07T00:00:00"/>
        <d v="2020-02-13T00:00:00"/>
        <d v="2020-02-22T00:00:00"/>
        <d v="2020-03-01T00:00:00"/>
        <d v="2020-03-13T00:00:00"/>
        <d v="2020-03-23T00:00:00"/>
      </sharedItems>
      <fieldGroup par="6"/>
    </cacheField>
    <cacheField name="Color" numFmtId="0">
      <sharedItems count="3">
        <s v="Red"/>
        <s v="Blue"/>
        <s v="Green"/>
      </sharedItems>
    </cacheField>
    <cacheField name="Region" numFmtId="0">
      <sharedItems count="4">
        <s v="West"/>
        <s v="South"/>
        <s v="North"/>
        <s v="East"/>
      </sharedItems>
    </cacheField>
    <cacheField name="Units" numFmtId="0">
      <sharedItems containsSemiMixedTypes="0" containsString="0" containsNumber="1" containsInteger="1" minValue="1" maxValue="8" count="5">
        <n v="1"/>
        <n v="8"/>
        <n v="2"/>
        <n v="7"/>
        <n v="5"/>
      </sharedItems>
    </cacheField>
    <cacheField name="Sales" numFmtId="0">
      <sharedItems containsSemiMixedTypes="0" containsString="0" containsNumber="1" containsInteger="1" minValue="25000" maxValue="110000" count="10">
        <n v="110000"/>
        <n v="96000"/>
        <n v="26000"/>
        <n v="84000"/>
        <n v="25000"/>
        <n v="60000"/>
        <n v="35000"/>
        <n v="87000"/>
        <n v="69000"/>
        <n v="54000"/>
      </sharedItems>
    </cacheField>
    <cacheField name="Days (Date)" numFmtId="0" databaseField="0">
      <fieldGroup base="0">
        <rangePr groupBy="days" startDate="2020-01-03T00:00:00" endDate="2020-03-24T00:00:00"/>
        <groupItems count="368">
          <s v="&lt;1/3/2020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24/2020"/>
        </groupItems>
      </fieldGroup>
    </cacheField>
    <cacheField name="Months (Date)" numFmtId="0" databaseField="0">
      <fieldGroup base="0">
        <rangePr groupBy="months" startDate="2020-01-03T00:00:00" endDate="2020-03-24T00:00:00"/>
        <groupItems count="14">
          <s v="&lt;1/3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24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Accord"/>
    <s v="Red"/>
    <n v="63512"/>
    <n v="4000"/>
    <n v="3000"/>
  </r>
  <r>
    <x v="0"/>
    <s v="Accord"/>
    <s v="Blue"/>
    <n v="95135"/>
    <n v="2500"/>
    <n v="2000"/>
  </r>
  <r>
    <x v="1"/>
    <s v="Camry"/>
    <s v="Black"/>
    <n v="75006"/>
    <n v="45000"/>
    <n v="44000"/>
  </r>
  <r>
    <x v="2"/>
    <s v="Altima"/>
    <s v="Green"/>
    <n v="69847"/>
    <n v="3826"/>
    <n v="3000"/>
  </r>
  <r>
    <x v="1"/>
    <s v="Corolla"/>
    <s v="Black"/>
    <n v="87278"/>
    <n v="2224"/>
    <n v="2100"/>
  </r>
  <r>
    <x v="0"/>
    <s v="Civic"/>
    <s v="White"/>
    <n v="138789"/>
    <n v="2723"/>
    <n v="1900"/>
  </r>
  <r>
    <x v="3"/>
    <s v="F-150"/>
    <s v="Black"/>
    <n v="89073"/>
    <n v="3950"/>
    <n v="3000"/>
  </r>
  <r>
    <x v="4"/>
    <s v="Silverado"/>
    <s v="Green"/>
    <n v="109231"/>
    <n v="4959"/>
    <n v="4500"/>
  </r>
  <r>
    <x v="4"/>
    <s v="Impala"/>
    <s v="Silver"/>
    <n v="87675"/>
    <n v="3791"/>
    <n v="3500"/>
  </r>
  <r>
    <x v="5"/>
    <s v="Charger"/>
    <s v="Silver"/>
    <n v="34853"/>
    <n v="4349"/>
    <n v="3500"/>
  </r>
  <r>
    <x v="5"/>
    <s v="Charger"/>
    <s v="Silver"/>
    <n v="58173"/>
    <n v="4252"/>
    <n v="4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Honda"/>
    <x v="0"/>
    <s v="Red"/>
    <n v="63512"/>
    <n v="4000"/>
    <n v="3000"/>
  </r>
  <r>
    <s v="Honda"/>
    <x v="0"/>
    <s v="Blue"/>
    <n v="95135"/>
    <n v="2500"/>
    <n v="2000"/>
  </r>
  <r>
    <s v="Toyota"/>
    <x v="1"/>
    <s v="Black"/>
    <n v="75006"/>
    <n v="45000"/>
    <n v="44000"/>
  </r>
  <r>
    <s v="Nissan"/>
    <x v="2"/>
    <s v="Green"/>
    <n v="69847"/>
    <n v="3826"/>
    <n v="3000"/>
  </r>
  <r>
    <s v="Toyota"/>
    <x v="3"/>
    <s v="Black"/>
    <n v="87278"/>
    <n v="2224"/>
    <n v="2100"/>
  </r>
  <r>
    <s v="Honda"/>
    <x v="4"/>
    <s v="White"/>
    <n v="138789"/>
    <n v="2723"/>
    <n v="1900"/>
  </r>
  <r>
    <s v="Ford"/>
    <x v="5"/>
    <s v="Black"/>
    <n v="89073"/>
    <n v="3950"/>
    <n v="3000"/>
  </r>
  <r>
    <s v="Chevrolet"/>
    <x v="6"/>
    <s v="Green"/>
    <n v="109231"/>
    <n v="4959"/>
    <n v="4500"/>
  </r>
  <r>
    <s v="Chevrolet"/>
    <x v="7"/>
    <s v="Silver"/>
    <n v="87675"/>
    <n v="3791"/>
    <n v="3500"/>
  </r>
  <r>
    <s v="Dodge"/>
    <x v="8"/>
    <s v="Silver"/>
    <n v="34853"/>
    <n v="4349"/>
    <n v="3500"/>
  </r>
  <r>
    <s v="Dodge"/>
    <x v="8"/>
    <s v="Silver"/>
    <n v="58173"/>
    <n v="4252"/>
    <n v="4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x v="0"/>
    <x v="0"/>
    <n v="63512"/>
    <x v="0"/>
    <x v="0"/>
  </r>
  <r>
    <x v="0"/>
    <x v="0"/>
    <x v="1"/>
    <n v="95135"/>
    <x v="1"/>
    <x v="1"/>
  </r>
  <r>
    <x v="1"/>
    <x v="1"/>
    <x v="2"/>
    <n v="75006"/>
    <x v="2"/>
    <x v="2"/>
  </r>
  <r>
    <x v="2"/>
    <x v="2"/>
    <x v="3"/>
    <n v="69847"/>
    <x v="3"/>
    <x v="0"/>
  </r>
  <r>
    <x v="1"/>
    <x v="3"/>
    <x v="2"/>
    <n v="87278"/>
    <x v="4"/>
    <x v="3"/>
  </r>
  <r>
    <x v="0"/>
    <x v="4"/>
    <x v="4"/>
    <n v="138789"/>
    <x v="5"/>
    <x v="4"/>
  </r>
  <r>
    <x v="3"/>
    <x v="5"/>
    <x v="2"/>
    <n v="89073"/>
    <x v="6"/>
    <x v="0"/>
  </r>
  <r>
    <x v="4"/>
    <x v="6"/>
    <x v="3"/>
    <n v="109231"/>
    <x v="7"/>
    <x v="5"/>
  </r>
  <r>
    <x v="4"/>
    <x v="7"/>
    <x v="5"/>
    <n v="87675"/>
    <x v="8"/>
    <x v="6"/>
  </r>
  <r>
    <x v="5"/>
    <x v="8"/>
    <x v="5"/>
    <n v="34853"/>
    <x v="9"/>
    <x v="6"/>
  </r>
  <r>
    <x v="5"/>
    <x v="8"/>
    <x v="5"/>
    <n v="58173"/>
    <x v="10"/>
    <x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s v="Accord"/>
    <s v="Red"/>
    <n v="63512"/>
    <n v="4000"/>
    <n v="3000"/>
  </r>
  <r>
    <x v="0"/>
    <s v="Accord"/>
    <s v="Blue"/>
    <n v="95135"/>
    <n v="2500"/>
    <n v="2000"/>
  </r>
  <r>
    <x v="1"/>
    <s v="Camry"/>
    <s v="Black"/>
    <n v="75006"/>
    <n v="45000"/>
    <n v="44000"/>
  </r>
  <r>
    <x v="2"/>
    <s v="Altima"/>
    <s v="Green"/>
    <n v="69847"/>
    <n v="3826"/>
    <n v="3000"/>
  </r>
  <r>
    <x v="1"/>
    <s v="Corolla"/>
    <s v="Black"/>
    <n v="87278"/>
    <n v="2224"/>
    <n v="2100"/>
  </r>
  <r>
    <x v="0"/>
    <s v="Civic"/>
    <s v="White"/>
    <n v="138789"/>
    <n v="2723"/>
    <n v="1900"/>
  </r>
  <r>
    <x v="3"/>
    <s v="F-150"/>
    <s v="Black"/>
    <n v="89073"/>
    <n v="3950"/>
    <n v="3000"/>
  </r>
  <r>
    <x v="4"/>
    <s v="Silverado"/>
    <s v="Green"/>
    <n v="109231"/>
    <n v="4959"/>
    <n v="4500"/>
  </r>
  <r>
    <x v="4"/>
    <s v="Impala"/>
    <s v="Silver"/>
    <n v="87675"/>
    <n v="3791"/>
    <n v="3500"/>
  </r>
  <r>
    <x v="5"/>
    <s v="Charger"/>
    <s v="Silver"/>
    <n v="34853"/>
    <n v="4349"/>
    <n v="3500"/>
  </r>
  <r>
    <x v="5"/>
    <s v="Charger"/>
    <s v="Silver"/>
    <n v="58173"/>
    <n v="4252"/>
    <n v="40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Honda"/>
    <s v="Accord"/>
    <x v="0"/>
    <n v="63512"/>
    <n v="4000"/>
    <n v="3000"/>
  </r>
  <r>
    <s v="Honda"/>
    <s v="Accord"/>
    <x v="1"/>
    <n v="95135"/>
    <n v="2500"/>
    <n v="2000"/>
  </r>
  <r>
    <s v="Toyota"/>
    <s v="Camry"/>
    <x v="2"/>
    <n v="75006"/>
    <n v="45000"/>
    <n v="44000"/>
  </r>
  <r>
    <s v="Nissan"/>
    <s v="Altima"/>
    <x v="3"/>
    <n v="69847"/>
    <n v="3826"/>
    <n v="3000"/>
  </r>
  <r>
    <s v="Toyota"/>
    <s v="Corolla"/>
    <x v="2"/>
    <n v="87278"/>
    <n v="2224"/>
    <n v="2100"/>
  </r>
  <r>
    <s v="Honda"/>
    <s v="Civic"/>
    <x v="4"/>
    <n v="138789"/>
    <n v="2723"/>
    <n v="1900"/>
  </r>
  <r>
    <s v="Ford"/>
    <s v="F-150"/>
    <x v="2"/>
    <n v="89073"/>
    <n v="3950"/>
    <n v="3000"/>
  </r>
  <r>
    <s v="Chevrolet"/>
    <s v="Silverado"/>
    <x v="3"/>
    <n v="109231"/>
    <n v="4959"/>
    <n v="4500"/>
  </r>
  <r>
    <s v="Chevrolet"/>
    <s v="Impala"/>
    <x v="5"/>
    <n v="87675"/>
    <n v="3791"/>
    <n v="3500"/>
  </r>
  <r>
    <s v="Dodge"/>
    <s v="Charger"/>
    <x v="5"/>
    <n v="34853"/>
    <n v="4349"/>
    <n v="3500"/>
  </r>
  <r>
    <s v="Dodge"/>
    <s v="Charger"/>
    <x v="5"/>
    <n v="58173"/>
    <n v="4252"/>
    <n v="4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x v="0"/>
    <x v="0"/>
    <x v="0"/>
  </r>
  <r>
    <x v="1"/>
    <x v="1"/>
    <x v="1"/>
    <x v="1"/>
    <x v="1"/>
  </r>
  <r>
    <x v="2"/>
    <x v="2"/>
    <x v="0"/>
    <x v="2"/>
    <x v="2"/>
  </r>
  <r>
    <x v="3"/>
    <x v="1"/>
    <x v="2"/>
    <x v="3"/>
    <x v="3"/>
  </r>
  <r>
    <x v="4"/>
    <x v="2"/>
    <x v="2"/>
    <x v="1"/>
    <x v="4"/>
  </r>
  <r>
    <x v="5"/>
    <x v="0"/>
    <x v="1"/>
    <x v="2"/>
    <x v="5"/>
  </r>
  <r>
    <x v="6"/>
    <x v="1"/>
    <x v="3"/>
    <x v="4"/>
    <x v="6"/>
  </r>
  <r>
    <x v="7"/>
    <x v="2"/>
    <x v="0"/>
    <x v="2"/>
    <x v="7"/>
  </r>
  <r>
    <x v="8"/>
    <x v="1"/>
    <x v="3"/>
    <x v="1"/>
    <x v="8"/>
  </r>
  <r>
    <x v="9"/>
    <x v="1"/>
    <x v="2"/>
    <x v="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C92CA6-37AE-4BD5-BCFA-0E91D2DD893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8" firstHeaderRow="1" firstDataRow="1" firstDataCol="1"/>
  <pivotFields count="6">
    <pivotField axis="axisRow" dataField="1" showAll="0">
      <items count="7">
        <item x="4"/>
        <item x="5"/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Mak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3CF41-B092-421C-985B-9E37095C6A9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11" firstHeaderRow="1" firstDataRow="1" firstDataCol="1"/>
  <pivotFields count="6">
    <pivotField showAll="0"/>
    <pivotField axis="axisRow" dataField="1" showAll="0">
      <items count="10">
        <item x="0"/>
        <item x="2"/>
        <item x="1"/>
        <item x="8"/>
        <item x="4"/>
        <item x="3"/>
        <item x="5"/>
        <item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Mode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C1277-2585-4E56-B079-0A91ED8C01CE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L27" firstHeaderRow="0" firstDataRow="1" firstDataCol="1"/>
  <pivotFields count="7">
    <pivotField axis="axisRow" showAll="0">
      <items count="7">
        <item x="4"/>
        <item x="5"/>
        <item x="3"/>
        <item x="0"/>
        <item x="2"/>
        <item x="1"/>
        <item t="default"/>
      </items>
    </pivotField>
    <pivotField axis="axisRow" showAll="0">
      <items count="10">
        <item x="0"/>
        <item x="2"/>
        <item x="1"/>
        <item x="8"/>
        <item x="4"/>
        <item x="3"/>
        <item x="5"/>
        <item x="7"/>
        <item x="6"/>
        <item t="default"/>
      </items>
    </pivotField>
    <pivotField axis="axisRow" showAll="0">
      <items count="7">
        <item x="2"/>
        <item x="1"/>
        <item x="3"/>
        <item x="0"/>
        <item x="5"/>
        <item x="4"/>
        <item t="default"/>
      </items>
    </pivotField>
    <pivotField showAll="0"/>
    <pivotField dataField="1" showAll="0"/>
    <pivotField dataField="1" showAll="0"/>
    <pivotField dataField="1" dragToRow="0" dragToCol="0" dragToPage="0" showAll="0" defaultSubtotal="0"/>
  </pivotFields>
  <rowFields count="3">
    <field x="0"/>
    <field x="1"/>
    <field x="2"/>
  </rowFields>
  <rowItems count="26">
    <i>
      <x/>
    </i>
    <i r="1">
      <x v="7"/>
    </i>
    <i r="2">
      <x v="4"/>
    </i>
    <i r="1">
      <x v="8"/>
    </i>
    <i r="2">
      <x v="2"/>
    </i>
    <i>
      <x v="1"/>
    </i>
    <i r="1">
      <x v="3"/>
    </i>
    <i r="2">
      <x v="4"/>
    </i>
    <i>
      <x v="2"/>
    </i>
    <i r="1">
      <x v="6"/>
    </i>
    <i r="2">
      <x/>
    </i>
    <i>
      <x v="3"/>
    </i>
    <i r="1">
      <x/>
    </i>
    <i r="2">
      <x v="1"/>
    </i>
    <i r="2">
      <x v="3"/>
    </i>
    <i r="1">
      <x v="4"/>
    </i>
    <i r="2">
      <x v="5"/>
    </i>
    <i>
      <x v="4"/>
    </i>
    <i r="1">
      <x v="1"/>
    </i>
    <i r="2">
      <x v="2"/>
    </i>
    <i>
      <x v="5"/>
    </i>
    <i r="1">
      <x v="2"/>
    </i>
    <i r="2">
      <x/>
    </i>
    <i r="1">
      <x v="5"/>
    </i>
    <i r="2"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ell Price" fld="4" baseField="0" baseItem="0"/>
    <dataField name="Sum of Buy Price" fld="5" baseField="0" baseItem="0"/>
    <dataField name="Profit Margi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60A49F-CE13-47C1-A3D2-BE645FB4855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8" firstHeaderRow="0" firstDataRow="1" firstDataCol="1"/>
  <pivotFields count="6">
    <pivotField axis="axisRow" showAll="0" sortType="ascending">
      <items count="7">
        <item x="4"/>
        <item x="5"/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ell Price" fld="4" subtotal="average" baseField="0" baseItem="0"/>
    <dataField name="Average of Buy Price" fld="5" subtotal="average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4FF818-BE7D-4CBD-81D9-2030145C09A1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J8" firstHeaderRow="1" firstDataRow="1" firstDataCol="1"/>
  <pivotFields count="6">
    <pivotField showAll="0"/>
    <pivotField showAll="0"/>
    <pivotField axis="axisRow" dataField="1" showAll="0">
      <items count="7">
        <item x="2"/>
        <item x="1"/>
        <item x="3"/>
        <item x="0"/>
        <item x="5"/>
        <item x="4"/>
        <item t="default"/>
      </items>
    </pivotField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olor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BB64B-010C-4FFA-9450-5FD5653FCCB6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H15" firstHeaderRow="1" firstDataRow="1" firstDataCol="1"/>
  <pivotFields count="7">
    <pivotField axis="axisRow" numFmtId="1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5">
        <item x="3"/>
        <item x="2"/>
        <item x="1"/>
        <item x="0"/>
        <item t="default"/>
      </items>
    </pivotField>
    <pivotField dataField="1" showAll="0">
      <items count="6">
        <item x="0"/>
        <item x="2"/>
        <item x="4"/>
        <item x="3"/>
        <item x="1"/>
        <item t="default"/>
      </items>
    </pivotField>
    <pivotField showAll="0">
      <items count="11">
        <item x="4"/>
        <item x="2"/>
        <item x="6"/>
        <item x="9"/>
        <item x="5"/>
        <item x="8"/>
        <item x="3"/>
        <item x="7"/>
        <item x="1"/>
        <item x="0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6"/>
    <field x="5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E3D99-2881-466B-8EC1-AD09DB88AEA6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7" firstHeaderRow="1" firstDataRow="1" firstDataCol="1"/>
  <pivotFields count="7">
    <pivotField numFmtId="15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>
      <items count="11">
        <item x="4"/>
        <item x="2"/>
        <item x="6"/>
        <item x="9"/>
        <item x="5"/>
        <item x="8"/>
        <item x="3"/>
        <item x="7"/>
        <item x="1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2D216-FD10-4961-8557-F0C42FBC8BF7}">
  <dimension ref="A1:J12"/>
  <sheetViews>
    <sheetView workbookViewId="0">
      <selection sqref="A1:F12"/>
    </sheetView>
  </sheetViews>
  <sheetFormatPr defaultRowHeight="14.4" x14ac:dyDescent="0.3"/>
  <cols>
    <col min="9" max="9" width="12.5546875" bestFit="1" customWidth="1"/>
    <col min="10" max="10" width="13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29</v>
      </c>
    </row>
    <row r="2" spans="1:10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21</v>
      </c>
      <c r="J2">
        <v>2</v>
      </c>
    </row>
    <row r="3" spans="1:10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25</v>
      </c>
      <c r="J3">
        <v>2</v>
      </c>
    </row>
    <row r="4" spans="1:10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19</v>
      </c>
      <c r="J4">
        <v>1</v>
      </c>
    </row>
    <row r="5" spans="1:10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6</v>
      </c>
      <c r="J5">
        <v>3</v>
      </c>
    </row>
    <row r="6" spans="1:10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13</v>
      </c>
      <c r="J6">
        <v>1</v>
      </c>
    </row>
    <row r="7" spans="1:10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10</v>
      </c>
      <c r="J7">
        <v>2</v>
      </c>
    </row>
    <row r="8" spans="1:10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28</v>
      </c>
      <c r="J8">
        <v>11</v>
      </c>
    </row>
    <row r="9" spans="1:10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</row>
    <row r="10" spans="1:10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</row>
    <row r="11" spans="1:10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</row>
    <row r="12" spans="1:10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8046-7892-4E3F-9465-08DE81F29C86}">
  <dimension ref="A1:J12"/>
  <sheetViews>
    <sheetView workbookViewId="0">
      <selection activeCell="J7" sqref="J7"/>
    </sheetView>
  </sheetViews>
  <sheetFormatPr defaultRowHeight="14.4" x14ac:dyDescent="0.3"/>
  <cols>
    <col min="9" max="9" width="12.5546875" bestFit="1" customWidth="1"/>
    <col min="10" max="10" width="14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30</v>
      </c>
    </row>
    <row r="2" spans="1:10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7</v>
      </c>
      <c r="J2">
        <v>2</v>
      </c>
    </row>
    <row r="3" spans="1:10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14</v>
      </c>
      <c r="J3">
        <v>1</v>
      </c>
    </row>
    <row r="4" spans="1:10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11</v>
      </c>
      <c r="J4">
        <v>1</v>
      </c>
    </row>
    <row r="5" spans="1:10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26</v>
      </c>
      <c r="J5">
        <v>2</v>
      </c>
    </row>
    <row r="6" spans="1:10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17</v>
      </c>
      <c r="J6">
        <v>1</v>
      </c>
    </row>
    <row r="7" spans="1:10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16</v>
      </c>
      <c r="J7">
        <v>1</v>
      </c>
    </row>
    <row r="8" spans="1:10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20</v>
      </c>
      <c r="J8">
        <v>1</v>
      </c>
    </row>
    <row r="9" spans="1:10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  <c r="I9" s="2" t="s">
        <v>23</v>
      </c>
      <c r="J9">
        <v>1</v>
      </c>
    </row>
    <row r="10" spans="1:10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  <c r="I10" s="2" t="s">
        <v>22</v>
      </c>
      <c r="J10">
        <v>1</v>
      </c>
    </row>
    <row r="11" spans="1:10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  <c r="I11" s="2" t="s">
        <v>28</v>
      </c>
      <c r="J11">
        <v>11</v>
      </c>
    </row>
    <row r="12" spans="1:10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B933-5129-42DE-8F92-EF98E1DFFED7}">
  <dimension ref="A1:L27"/>
  <sheetViews>
    <sheetView workbookViewId="0">
      <selection activeCell="E22" sqref="E22"/>
    </sheetView>
  </sheetViews>
  <sheetFormatPr defaultRowHeight="14.4" x14ac:dyDescent="0.3"/>
  <cols>
    <col min="8" max="8" width="14.5546875" customWidth="1"/>
    <col min="9" max="9" width="12.77734375" bestFit="1" customWidth="1"/>
    <col min="10" max="10" width="15" bestFit="1" customWidth="1"/>
    <col min="11" max="11" width="15.33203125" bestFit="1" customWidth="1"/>
    <col min="12" max="12" width="12.109375" bestFit="1" customWidth="1"/>
    <col min="13" max="14" width="15.5546875" bestFit="1" customWidth="1"/>
    <col min="15" max="15" width="10.77734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31</v>
      </c>
      <c r="K1" t="s">
        <v>32</v>
      </c>
      <c r="L1" t="s">
        <v>36</v>
      </c>
    </row>
    <row r="2" spans="1:12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21</v>
      </c>
      <c r="J2">
        <v>8750</v>
      </c>
      <c r="K2">
        <v>8000</v>
      </c>
      <c r="L2">
        <v>750</v>
      </c>
    </row>
    <row r="3" spans="1:12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3" t="s">
        <v>23</v>
      </c>
      <c r="J3">
        <v>3791</v>
      </c>
      <c r="K3">
        <v>3500</v>
      </c>
      <c r="L3">
        <v>291</v>
      </c>
    </row>
    <row r="4" spans="1:12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4" t="s">
        <v>24</v>
      </c>
      <c r="J4">
        <v>3791</v>
      </c>
      <c r="K4">
        <v>3500</v>
      </c>
      <c r="L4">
        <v>291</v>
      </c>
    </row>
    <row r="5" spans="1:12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3" t="s">
        <v>22</v>
      </c>
      <c r="J5">
        <v>4959</v>
      </c>
      <c r="K5">
        <v>4500</v>
      </c>
      <c r="L5">
        <v>459</v>
      </c>
    </row>
    <row r="6" spans="1:12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4" t="s">
        <v>15</v>
      </c>
      <c r="J6">
        <v>4959</v>
      </c>
      <c r="K6">
        <v>4500</v>
      </c>
      <c r="L6">
        <v>459</v>
      </c>
    </row>
    <row r="7" spans="1:12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25</v>
      </c>
      <c r="J7">
        <v>8601</v>
      </c>
      <c r="K7">
        <v>7500</v>
      </c>
      <c r="L7">
        <v>1101</v>
      </c>
    </row>
    <row r="8" spans="1:12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3" t="s">
        <v>26</v>
      </c>
      <c r="J8">
        <v>8601</v>
      </c>
      <c r="K8">
        <v>7500</v>
      </c>
      <c r="L8">
        <v>1101</v>
      </c>
    </row>
    <row r="9" spans="1:12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  <c r="I9" s="4" t="s">
        <v>24</v>
      </c>
      <c r="J9">
        <v>8601</v>
      </c>
      <c r="K9">
        <v>7500</v>
      </c>
      <c r="L9">
        <v>1101</v>
      </c>
    </row>
    <row r="10" spans="1:12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  <c r="I10" s="2" t="s">
        <v>19</v>
      </c>
      <c r="J10">
        <v>3950</v>
      </c>
      <c r="K10">
        <v>3000</v>
      </c>
      <c r="L10">
        <v>950</v>
      </c>
    </row>
    <row r="11" spans="1:12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  <c r="I11" s="3" t="s">
        <v>20</v>
      </c>
      <c r="J11">
        <v>3950</v>
      </c>
      <c r="K11">
        <v>3000</v>
      </c>
      <c r="L11">
        <v>950</v>
      </c>
    </row>
    <row r="12" spans="1:12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  <c r="I12" s="4" t="s">
        <v>12</v>
      </c>
      <c r="J12">
        <v>3950</v>
      </c>
      <c r="K12">
        <v>3000</v>
      </c>
      <c r="L12">
        <v>950</v>
      </c>
    </row>
    <row r="13" spans="1:12" x14ac:dyDescent="0.3">
      <c r="I13" s="2" t="s">
        <v>6</v>
      </c>
      <c r="J13">
        <v>9223</v>
      </c>
      <c r="K13">
        <v>6900</v>
      </c>
      <c r="L13">
        <v>2323</v>
      </c>
    </row>
    <row r="14" spans="1:12" x14ac:dyDescent="0.3">
      <c r="I14" s="3" t="s">
        <v>7</v>
      </c>
      <c r="J14">
        <v>6500</v>
      </c>
      <c r="K14">
        <v>5000</v>
      </c>
      <c r="L14">
        <v>1500</v>
      </c>
    </row>
    <row r="15" spans="1:12" x14ac:dyDescent="0.3">
      <c r="I15" s="4" t="s">
        <v>9</v>
      </c>
      <c r="J15">
        <v>2500</v>
      </c>
      <c r="K15">
        <v>2000</v>
      </c>
      <c r="L15">
        <v>500</v>
      </c>
    </row>
    <row r="16" spans="1:12" x14ac:dyDescent="0.3">
      <c r="I16" s="4" t="s">
        <v>8</v>
      </c>
      <c r="J16">
        <v>4000</v>
      </c>
      <c r="K16">
        <v>3000</v>
      </c>
      <c r="L16">
        <v>1000</v>
      </c>
    </row>
    <row r="17" spans="9:12" x14ac:dyDescent="0.3">
      <c r="I17" s="3" t="s">
        <v>17</v>
      </c>
      <c r="J17">
        <v>2723</v>
      </c>
      <c r="K17">
        <v>1900</v>
      </c>
      <c r="L17">
        <v>823</v>
      </c>
    </row>
    <row r="18" spans="9:12" x14ac:dyDescent="0.3">
      <c r="I18" s="4" t="s">
        <v>18</v>
      </c>
      <c r="J18">
        <v>2723</v>
      </c>
      <c r="K18">
        <v>1900</v>
      </c>
      <c r="L18">
        <v>823</v>
      </c>
    </row>
    <row r="19" spans="9:12" x14ac:dyDescent="0.3">
      <c r="I19" s="2" t="s">
        <v>13</v>
      </c>
      <c r="J19">
        <v>3826</v>
      </c>
      <c r="K19">
        <v>3000</v>
      </c>
      <c r="L19">
        <v>826</v>
      </c>
    </row>
    <row r="20" spans="9:12" x14ac:dyDescent="0.3">
      <c r="I20" s="3" t="s">
        <v>14</v>
      </c>
      <c r="J20">
        <v>3826</v>
      </c>
      <c r="K20">
        <v>3000</v>
      </c>
      <c r="L20">
        <v>826</v>
      </c>
    </row>
    <row r="21" spans="9:12" x14ac:dyDescent="0.3">
      <c r="I21" s="4" t="s">
        <v>15</v>
      </c>
      <c r="J21">
        <v>3826</v>
      </c>
      <c r="K21">
        <v>3000</v>
      </c>
      <c r="L21">
        <v>826</v>
      </c>
    </row>
    <row r="22" spans="9:12" x14ac:dyDescent="0.3">
      <c r="I22" s="2" t="s">
        <v>10</v>
      </c>
      <c r="J22">
        <v>47224</v>
      </c>
      <c r="K22">
        <v>46100</v>
      </c>
      <c r="L22">
        <v>1124</v>
      </c>
    </row>
    <row r="23" spans="9:12" x14ac:dyDescent="0.3">
      <c r="I23" s="3" t="s">
        <v>11</v>
      </c>
      <c r="J23">
        <v>45000</v>
      </c>
      <c r="K23">
        <v>44000</v>
      </c>
      <c r="L23">
        <v>1000</v>
      </c>
    </row>
    <row r="24" spans="9:12" x14ac:dyDescent="0.3">
      <c r="I24" s="4" t="s">
        <v>12</v>
      </c>
      <c r="J24">
        <v>45000</v>
      </c>
      <c r="K24">
        <v>44000</v>
      </c>
      <c r="L24">
        <v>1000</v>
      </c>
    </row>
    <row r="25" spans="9:12" x14ac:dyDescent="0.3">
      <c r="I25" s="3" t="s">
        <v>16</v>
      </c>
      <c r="J25">
        <v>2224</v>
      </c>
      <c r="K25">
        <v>2100</v>
      </c>
      <c r="L25">
        <v>124</v>
      </c>
    </row>
    <row r="26" spans="9:12" x14ac:dyDescent="0.3">
      <c r="I26" s="4" t="s">
        <v>12</v>
      </c>
      <c r="J26">
        <v>2224</v>
      </c>
      <c r="K26">
        <v>2100</v>
      </c>
      <c r="L26">
        <v>124</v>
      </c>
    </row>
    <row r="27" spans="9:12" x14ac:dyDescent="0.3">
      <c r="I27" s="2" t="s">
        <v>28</v>
      </c>
      <c r="J27">
        <v>81574</v>
      </c>
      <c r="K27">
        <v>74500</v>
      </c>
      <c r="L27">
        <v>7074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56F1-29D1-40B4-B1AA-5A2BBAB98464}">
  <dimension ref="A1:K12"/>
  <sheetViews>
    <sheetView workbookViewId="0">
      <selection sqref="A1:F12"/>
    </sheetView>
  </sheetViews>
  <sheetFormatPr defaultRowHeight="14.4" x14ac:dyDescent="0.3"/>
  <cols>
    <col min="9" max="9" width="12.5546875" bestFit="1" customWidth="1"/>
    <col min="10" max="10" width="18.21875" bestFit="1" customWidth="1"/>
    <col min="11" max="11" width="1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33</v>
      </c>
      <c r="K1" t="s">
        <v>34</v>
      </c>
    </row>
    <row r="2" spans="1:11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21</v>
      </c>
      <c r="J2" s="5">
        <v>4375</v>
      </c>
      <c r="K2" s="5">
        <v>4000</v>
      </c>
    </row>
    <row r="3" spans="1:11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25</v>
      </c>
      <c r="J3" s="5">
        <v>4300.5</v>
      </c>
      <c r="K3" s="5">
        <v>3750</v>
      </c>
    </row>
    <row r="4" spans="1:11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19</v>
      </c>
      <c r="J4" s="5">
        <v>3950</v>
      </c>
      <c r="K4" s="5">
        <v>3000</v>
      </c>
    </row>
    <row r="5" spans="1:11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6</v>
      </c>
      <c r="J5" s="5">
        <v>3074.3333333333335</v>
      </c>
      <c r="K5" s="5">
        <v>2300</v>
      </c>
    </row>
    <row r="6" spans="1:11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13</v>
      </c>
      <c r="J6" s="5">
        <v>3826</v>
      </c>
      <c r="K6" s="5">
        <v>3000</v>
      </c>
    </row>
    <row r="7" spans="1:11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10</v>
      </c>
      <c r="J7" s="5">
        <v>23612</v>
      </c>
      <c r="K7" s="5">
        <v>23050</v>
      </c>
    </row>
    <row r="8" spans="1:11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28</v>
      </c>
      <c r="J8">
        <v>7415.818181818182</v>
      </c>
      <c r="K8">
        <v>6772.727272727273</v>
      </c>
    </row>
    <row r="9" spans="1:11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</row>
    <row r="10" spans="1:11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</row>
    <row r="11" spans="1:11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</row>
    <row r="12" spans="1:11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54FF4-2922-4658-B95B-BBC9C620DC6A}">
  <dimension ref="A1:J12"/>
  <sheetViews>
    <sheetView workbookViewId="0">
      <selection sqref="A1:F12"/>
    </sheetView>
  </sheetViews>
  <sheetFormatPr defaultRowHeight="14.4" x14ac:dyDescent="0.3"/>
  <cols>
    <col min="9" max="9" width="12.554687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s="1" t="s">
        <v>27</v>
      </c>
      <c r="J1" t="s">
        <v>35</v>
      </c>
    </row>
    <row r="2" spans="1:10" x14ac:dyDescent="0.3">
      <c r="A2" t="s">
        <v>6</v>
      </c>
      <c r="B2" t="s">
        <v>7</v>
      </c>
      <c r="C2" t="s">
        <v>8</v>
      </c>
      <c r="D2">
        <v>63512</v>
      </c>
      <c r="E2">
        <v>4000</v>
      </c>
      <c r="F2">
        <v>3000</v>
      </c>
      <c r="I2" s="2" t="s">
        <v>12</v>
      </c>
      <c r="J2" s="6">
        <v>0.27272727272727271</v>
      </c>
    </row>
    <row r="3" spans="1:10" x14ac:dyDescent="0.3">
      <c r="A3" t="s">
        <v>6</v>
      </c>
      <c r="B3" t="s">
        <v>7</v>
      </c>
      <c r="C3" t="s">
        <v>9</v>
      </c>
      <c r="D3">
        <v>95135</v>
      </c>
      <c r="E3">
        <v>2500</v>
      </c>
      <c r="F3">
        <v>2000</v>
      </c>
      <c r="I3" s="2" t="s">
        <v>9</v>
      </c>
      <c r="J3" s="6">
        <v>9.0909090909090912E-2</v>
      </c>
    </row>
    <row r="4" spans="1:10" x14ac:dyDescent="0.3">
      <c r="A4" t="s">
        <v>10</v>
      </c>
      <c r="B4" t="s">
        <v>11</v>
      </c>
      <c r="C4" t="s">
        <v>12</v>
      </c>
      <c r="D4">
        <v>75006</v>
      </c>
      <c r="E4">
        <v>45000</v>
      </c>
      <c r="F4">
        <v>44000</v>
      </c>
      <c r="I4" s="2" t="s">
        <v>15</v>
      </c>
      <c r="J4" s="6">
        <v>0.18181818181818182</v>
      </c>
    </row>
    <row r="5" spans="1:10" x14ac:dyDescent="0.3">
      <c r="A5" t="s">
        <v>13</v>
      </c>
      <c r="B5" t="s">
        <v>14</v>
      </c>
      <c r="C5" t="s">
        <v>15</v>
      </c>
      <c r="D5">
        <v>69847</v>
      </c>
      <c r="E5">
        <v>3826</v>
      </c>
      <c r="F5">
        <v>3000</v>
      </c>
      <c r="I5" s="2" t="s">
        <v>8</v>
      </c>
      <c r="J5" s="6">
        <v>9.0909090909090912E-2</v>
      </c>
    </row>
    <row r="6" spans="1:10" x14ac:dyDescent="0.3">
      <c r="A6" t="s">
        <v>10</v>
      </c>
      <c r="B6" t="s">
        <v>16</v>
      </c>
      <c r="C6" t="s">
        <v>12</v>
      </c>
      <c r="D6">
        <v>87278</v>
      </c>
      <c r="E6">
        <v>2224</v>
      </c>
      <c r="F6">
        <v>2100</v>
      </c>
      <c r="I6" s="2" t="s">
        <v>24</v>
      </c>
      <c r="J6" s="6">
        <v>0.27272727272727271</v>
      </c>
    </row>
    <row r="7" spans="1:10" x14ac:dyDescent="0.3">
      <c r="A7" t="s">
        <v>6</v>
      </c>
      <c r="B7" t="s">
        <v>17</v>
      </c>
      <c r="C7" t="s">
        <v>18</v>
      </c>
      <c r="D7">
        <v>138789</v>
      </c>
      <c r="E7">
        <v>2723</v>
      </c>
      <c r="F7">
        <v>1900</v>
      </c>
      <c r="I7" s="2" t="s">
        <v>18</v>
      </c>
      <c r="J7" s="6">
        <v>9.0909090909090912E-2</v>
      </c>
    </row>
    <row r="8" spans="1:10" x14ac:dyDescent="0.3">
      <c r="A8" t="s">
        <v>19</v>
      </c>
      <c r="B8" t="s">
        <v>20</v>
      </c>
      <c r="C8" t="s">
        <v>12</v>
      </c>
      <c r="D8">
        <v>89073</v>
      </c>
      <c r="E8">
        <v>3950</v>
      </c>
      <c r="F8">
        <v>3000</v>
      </c>
      <c r="I8" s="2" t="s">
        <v>28</v>
      </c>
      <c r="J8" s="6">
        <v>1</v>
      </c>
    </row>
    <row r="9" spans="1:10" x14ac:dyDescent="0.3">
      <c r="A9" t="s">
        <v>21</v>
      </c>
      <c r="B9" t="s">
        <v>22</v>
      </c>
      <c r="C9" t="s">
        <v>15</v>
      </c>
      <c r="D9">
        <v>109231</v>
      </c>
      <c r="E9">
        <v>4959</v>
      </c>
      <c r="F9">
        <v>4500</v>
      </c>
    </row>
    <row r="10" spans="1:10" x14ac:dyDescent="0.3">
      <c r="A10" t="s">
        <v>21</v>
      </c>
      <c r="B10" t="s">
        <v>23</v>
      </c>
      <c r="C10" t="s">
        <v>24</v>
      </c>
      <c r="D10">
        <v>87675</v>
      </c>
      <c r="E10">
        <v>3791</v>
      </c>
      <c r="F10">
        <v>3500</v>
      </c>
    </row>
    <row r="11" spans="1:10" x14ac:dyDescent="0.3">
      <c r="A11" t="s">
        <v>25</v>
      </c>
      <c r="B11" t="s">
        <v>26</v>
      </c>
      <c r="C11" t="s">
        <v>24</v>
      </c>
      <c r="D11">
        <v>34853</v>
      </c>
      <c r="E11">
        <v>4349</v>
      </c>
      <c r="F11">
        <v>3500</v>
      </c>
    </row>
    <row r="12" spans="1:10" x14ac:dyDescent="0.3">
      <c r="A12" t="s">
        <v>25</v>
      </c>
      <c r="B12" t="s">
        <v>26</v>
      </c>
      <c r="C12" t="s">
        <v>24</v>
      </c>
      <c r="D12">
        <v>58173</v>
      </c>
      <c r="E12">
        <v>4252</v>
      </c>
      <c r="F12">
        <v>4000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CF8B2-9CC1-4DBE-8463-4D3B6C33E638}">
  <dimension ref="A1"/>
  <sheetViews>
    <sheetView workbookViewId="0">
      <selection activeCell="D9" sqref="D9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1FA2E-5B6C-404F-A3BD-1A512E5F55B5}">
  <dimension ref="A1:H15"/>
  <sheetViews>
    <sheetView workbookViewId="0">
      <selection activeCell="L21" sqref="L21"/>
    </sheetView>
  </sheetViews>
  <sheetFormatPr defaultRowHeight="14.4" x14ac:dyDescent="0.3"/>
  <cols>
    <col min="1" max="1" width="14" customWidth="1"/>
    <col min="7" max="7" width="12.5546875" bestFit="1" customWidth="1"/>
    <col min="8" max="9" width="11.77734375" bestFit="1" customWidth="1"/>
  </cols>
  <sheetData>
    <row r="1" spans="1:8" x14ac:dyDescent="0.3">
      <c r="A1" s="8" t="s">
        <v>37</v>
      </c>
      <c r="B1" s="8" t="s">
        <v>2</v>
      </c>
      <c r="C1" s="8" t="s">
        <v>38</v>
      </c>
      <c r="D1" s="8" t="s">
        <v>39</v>
      </c>
      <c r="E1" s="8" t="s">
        <v>40</v>
      </c>
    </row>
    <row r="2" spans="1:8" x14ac:dyDescent="0.3">
      <c r="A2" s="9">
        <v>43833</v>
      </c>
      <c r="B2" s="8" t="s">
        <v>8</v>
      </c>
      <c r="C2" s="8" t="s">
        <v>41</v>
      </c>
      <c r="D2" s="8">
        <v>1</v>
      </c>
      <c r="E2" s="8">
        <v>110000</v>
      </c>
      <c r="G2" s="1" t="s">
        <v>27</v>
      </c>
      <c r="H2" t="s">
        <v>45</v>
      </c>
    </row>
    <row r="3" spans="1:8" x14ac:dyDescent="0.3">
      <c r="A3" s="9">
        <v>43844</v>
      </c>
      <c r="B3" s="8" t="s">
        <v>9</v>
      </c>
      <c r="C3" s="8" t="s">
        <v>42</v>
      </c>
      <c r="D3" s="8">
        <v>8</v>
      </c>
      <c r="E3" s="8">
        <v>96000</v>
      </c>
      <c r="G3" s="2" t="s">
        <v>44</v>
      </c>
      <c r="H3" s="7">
        <v>13</v>
      </c>
    </row>
    <row r="4" spans="1:8" x14ac:dyDescent="0.3">
      <c r="A4" s="9">
        <v>43851</v>
      </c>
      <c r="B4" s="8" t="s">
        <v>15</v>
      </c>
      <c r="C4" s="8" t="s">
        <v>41</v>
      </c>
      <c r="D4" s="8">
        <v>2</v>
      </c>
      <c r="E4" s="8">
        <v>26000</v>
      </c>
      <c r="G4" s="2" t="s">
        <v>43</v>
      </c>
      <c r="H4" s="7">
        <v>22</v>
      </c>
    </row>
    <row r="5" spans="1:8" x14ac:dyDescent="0.3">
      <c r="A5" s="9">
        <v>43860</v>
      </c>
      <c r="B5" s="8" t="s">
        <v>9</v>
      </c>
      <c r="C5" s="8" t="s">
        <v>43</v>
      </c>
      <c r="D5" s="8">
        <v>7</v>
      </c>
      <c r="E5" s="8">
        <v>84000</v>
      </c>
      <c r="G5" s="2" t="s">
        <v>42</v>
      </c>
      <c r="H5" s="7">
        <v>10</v>
      </c>
    </row>
    <row r="6" spans="1:8" x14ac:dyDescent="0.3">
      <c r="A6" s="9">
        <v>43868</v>
      </c>
      <c r="B6" s="8" t="s">
        <v>15</v>
      </c>
      <c r="C6" s="8" t="s">
        <v>43</v>
      </c>
      <c r="D6" s="8">
        <v>8</v>
      </c>
      <c r="E6" s="8">
        <v>25000</v>
      </c>
      <c r="G6" s="2" t="s">
        <v>41</v>
      </c>
      <c r="H6" s="7">
        <v>5</v>
      </c>
    </row>
    <row r="7" spans="1:8" x14ac:dyDescent="0.3">
      <c r="A7" s="9">
        <v>43874</v>
      </c>
      <c r="B7" s="8" t="s">
        <v>8</v>
      </c>
      <c r="C7" s="8" t="s">
        <v>42</v>
      </c>
      <c r="D7" s="8">
        <v>2</v>
      </c>
      <c r="E7" s="8">
        <v>60000</v>
      </c>
      <c r="G7" s="2" t="s">
        <v>28</v>
      </c>
      <c r="H7" s="7">
        <v>50</v>
      </c>
    </row>
    <row r="8" spans="1:8" x14ac:dyDescent="0.3">
      <c r="A8" s="9">
        <v>43883</v>
      </c>
      <c r="B8" s="8" t="s">
        <v>9</v>
      </c>
      <c r="C8" s="8" t="s">
        <v>44</v>
      </c>
      <c r="D8" s="8">
        <v>5</v>
      </c>
      <c r="E8" s="8">
        <v>35000</v>
      </c>
    </row>
    <row r="9" spans="1:8" x14ac:dyDescent="0.3">
      <c r="A9" s="9">
        <v>43891</v>
      </c>
      <c r="B9" s="8" t="s">
        <v>15</v>
      </c>
      <c r="C9" s="8" t="s">
        <v>41</v>
      </c>
      <c r="D9" s="8">
        <v>2</v>
      </c>
      <c r="E9" s="8">
        <v>87000</v>
      </c>
    </row>
    <row r="10" spans="1:8" x14ac:dyDescent="0.3">
      <c r="A10" s="9">
        <v>43903</v>
      </c>
      <c r="B10" s="8" t="s">
        <v>9</v>
      </c>
      <c r="C10" s="8" t="s">
        <v>44</v>
      </c>
      <c r="D10" s="8">
        <v>8</v>
      </c>
      <c r="E10" s="8">
        <v>69000</v>
      </c>
    </row>
    <row r="11" spans="1:8" x14ac:dyDescent="0.3">
      <c r="A11" s="9">
        <v>43913</v>
      </c>
      <c r="B11" s="8" t="s">
        <v>9</v>
      </c>
      <c r="C11" s="8" t="s">
        <v>43</v>
      </c>
      <c r="D11" s="8">
        <v>7</v>
      </c>
      <c r="E11" s="8">
        <v>54000</v>
      </c>
      <c r="G11" s="1" t="s">
        <v>27</v>
      </c>
      <c r="H11" t="s">
        <v>45</v>
      </c>
    </row>
    <row r="12" spans="1:8" x14ac:dyDescent="0.3">
      <c r="G12" s="2" t="s">
        <v>46</v>
      </c>
      <c r="H12" s="7">
        <v>18</v>
      </c>
    </row>
    <row r="13" spans="1:8" x14ac:dyDescent="0.3">
      <c r="G13" s="2" t="s">
        <v>47</v>
      </c>
      <c r="H13" s="7">
        <v>15</v>
      </c>
    </row>
    <row r="14" spans="1:8" x14ac:dyDescent="0.3">
      <c r="G14" s="2" t="s">
        <v>48</v>
      </c>
      <c r="H14" s="7">
        <v>17</v>
      </c>
    </row>
    <row r="15" spans="1:8" x14ac:dyDescent="0.3">
      <c r="G15" s="2" t="s">
        <v>28</v>
      </c>
      <c r="H15" s="7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DD8B-321E-40CC-9AAB-10D8EBAA2129}">
  <dimension ref="A1:G21"/>
  <sheetViews>
    <sheetView tabSelected="1" workbookViewId="0">
      <selection activeCell="H17" sqref="H17"/>
    </sheetView>
  </sheetViews>
  <sheetFormatPr defaultRowHeight="14.4" x14ac:dyDescent="0.3"/>
  <cols>
    <col min="1" max="1" width="14" customWidth="1"/>
    <col min="5" max="5" width="15.6640625" customWidth="1"/>
  </cols>
  <sheetData>
    <row r="1" spans="1:7" x14ac:dyDescent="0.3">
      <c r="A1" t="s">
        <v>51</v>
      </c>
      <c r="B1" t="s">
        <v>49</v>
      </c>
      <c r="C1" t="s">
        <v>50</v>
      </c>
      <c r="D1" t="s">
        <v>52</v>
      </c>
      <c r="E1" t="s">
        <v>53</v>
      </c>
    </row>
    <row r="2" spans="1:7" x14ac:dyDescent="0.3">
      <c r="A2" t="s">
        <v>56</v>
      </c>
      <c r="B2" t="s">
        <v>54</v>
      </c>
      <c r="C2" t="s">
        <v>55</v>
      </c>
      <c r="D2">
        <v>6800</v>
      </c>
      <c r="E2" t="s">
        <v>57</v>
      </c>
    </row>
    <row r="3" spans="1:7" x14ac:dyDescent="0.3">
      <c r="A3" t="s">
        <v>60</v>
      </c>
      <c r="B3" t="s">
        <v>58</v>
      </c>
      <c r="C3" t="s">
        <v>59</v>
      </c>
      <c r="D3">
        <v>3800</v>
      </c>
      <c r="E3" t="s">
        <v>57</v>
      </c>
    </row>
    <row r="4" spans="1:7" x14ac:dyDescent="0.3">
      <c r="A4" t="s">
        <v>63</v>
      </c>
      <c r="B4" t="s">
        <v>61</v>
      </c>
      <c r="C4" t="s">
        <v>62</v>
      </c>
      <c r="D4">
        <v>4500</v>
      </c>
      <c r="E4" t="s">
        <v>57</v>
      </c>
    </row>
    <row r="5" spans="1:7" x14ac:dyDescent="0.3">
      <c r="A5" t="s">
        <v>66</v>
      </c>
      <c r="B5" t="s">
        <v>64</v>
      </c>
      <c r="C5" t="s">
        <v>65</v>
      </c>
      <c r="D5">
        <v>3582</v>
      </c>
      <c r="E5" t="s">
        <v>67</v>
      </c>
      <c r="G5">
        <f>VLOOKUP(C3,C1:E21,2,0)</f>
        <v>3800</v>
      </c>
    </row>
    <row r="6" spans="1:7" x14ac:dyDescent="0.3">
      <c r="A6" t="s">
        <v>70</v>
      </c>
      <c r="B6" t="s">
        <v>68</v>
      </c>
      <c r="C6" t="s">
        <v>69</v>
      </c>
      <c r="D6">
        <v>1600</v>
      </c>
      <c r="E6" t="s">
        <v>57</v>
      </c>
    </row>
    <row r="7" spans="1:7" x14ac:dyDescent="0.3">
      <c r="A7" t="s">
        <v>73</v>
      </c>
      <c r="B7" t="s">
        <v>71</v>
      </c>
      <c r="C7" t="s">
        <v>72</v>
      </c>
      <c r="D7">
        <v>1005</v>
      </c>
      <c r="E7" t="s">
        <v>74</v>
      </c>
    </row>
    <row r="8" spans="1:7" x14ac:dyDescent="0.3">
      <c r="A8" t="s">
        <v>77</v>
      </c>
      <c r="B8" t="s">
        <v>75</v>
      </c>
      <c r="C8" t="s">
        <v>76</v>
      </c>
      <c r="D8">
        <v>6500</v>
      </c>
      <c r="E8" t="s">
        <v>57</v>
      </c>
      <c r="G8" t="str">
        <f>VLOOKUP(A19,A1:B21,2,0)</f>
        <v>SP318</v>
      </c>
    </row>
    <row r="9" spans="1:7" x14ac:dyDescent="0.3">
      <c r="A9" t="s">
        <v>80</v>
      </c>
      <c r="B9" t="s">
        <v>78</v>
      </c>
      <c r="C9" t="s">
        <v>79</v>
      </c>
      <c r="D9">
        <v>8549</v>
      </c>
      <c r="E9" t="s">
        <v>74</v>
      </c>
    </row>
    <row r="10" spans="1:7" x14ac:dyDescent="0.3">
      <c r="A10" t="s">
        <v>83</v>
      </c>
      <c r="B10" t="s">
        <v>81</v>
      </c>
      <c r="C10" t="s">
        <v>82</v>
      </c>
      <c r="D10">
        <v>6500</v>
      </c>
      <c r="E10" t="s">
        <v>57</v>
      </c>
    </row>
    <row r="11" spans="1:7" x14ac:dyDescent="0.3">
      <c r="A11" t="s">
        <v>86</v>
      </c>
      <c r="B11" t="s">
        <v>84</v>
      </c>
      <c r="C11" t="s">
        <v>85</v>
      </c>
      <c r="D11">
        <v>1500</v>
      </c>
      <c r="E11" t="s">
        <v>57</v>
      </c>
      <c r="G11">
        <f>VLOOKUP(A6,A1:D21,4,0)</f>
        <v>1600</v>
      </c>
    </row>
    <row r="12" spans="1:7" x14ac:dyDescent="0.3">
      <c r="A12" t="s">
        <v>89</v>
      </c>
      <c r="B12" t="s">
        <v>87</v>
      </c>
      <c r="C12" t="s">
        <v>88</v>
      </c>
      <c r="D12">
        <v>4500</v>
      </c>
      <c r="E12" t="s">
        <v>57</v>
      </c>
    </row>
    <row r="13" spans="1:7" x14ac:dyDescent="0.3">
      <c r="A13" t="s">
        <v>92</v>
      </c>
      <c r="B13" t="s">
        <v>90</v>
      </c>
      <c r="C13" t="s">
        <v>91</v>
      </c>
      <c r="D13">
        <v>1580</v>
      </c>
      <c r="E13" t="s">
        <v>57</v>
      </c>
    </row>
    <row r="14" spans="1:7" x14ac:dyDescent="0.3">
      <c r="A14" t="s">
        <v>95</v>
      </c>
      <c r="B14" t="s">
        <v>93</v>
      </c>
      <c r="C14" t="s">
        <v>94</v>
      </c>
      <c r="D14">
        <v>2650</v>
      </c>
      <c r="E14" t="s">
        <v>67</v>
      </c>
      <c r="G14" t="str">
        <f>VLOOKUP(C9,C1:E21,3,0)</f>
        <v>Out of stock</v>
      </c>
    </row>
    <row r="15" spans="1:7" x14ac:dyDescent="0.3">
      <c r="A15" t="s">
        <v>95</v>
      </c>
      <c r="B15" t="s">
        <v>96</v>
      </c>
      <c r="C15" t="s">
        <v>97</v>
      </c>
      <c r="D15">
        <v>4660</v>
      </c>
      <c r="E15" t="s">
        <v>57</v>
      </c>
    </row>
    <row r="16" spans="1:7" x14ac:dyDescent="0.3">
      <c r="A16" t="s">
        <v>100</v>
      </c>
      <c r="B16" t="s">
        <v>98</v>
      </c>
      <c r="C16" t="s">
        <v>99</v>
      </c>
      <c r="D16">
        <v>4350</v>
      </c>
      <c r="E16" t="s">
        <v>57</v>
      </c>
    </row>
    <row r="17" spans="1:5" x14ac:dyDescent="0.3">
      <c r="A17" t="s">
        <v>103</v>
      </c>
      <c r="B17" t="s">
        <v>101</v>
      </c>
      <c r="C17" t="s">
        <v>102</v>
      </c>
      <c r="D17">
        <v>1280</v>
      </c>
      <c r="E17" t="s">
        <v>57</v>
      </c>
    </row>
    <row r="18" spans="1:5" x14ac:dyDescent="0.3">
      <c r="A18" t="s">
        <v>106</v>
      </c>
      <c r="B18" t="s">
        <v>104</v>
      </c>
      <c r="C18" t="s">
        <v>105</v>
      </c>
      <c r="D18">
        <v>1800</v>
      </c>
      <c r="E18" t="s">
        <v>67</v>
      </c>
    </row>
    <row r="19" spans="1:5" x14ac:dyDescent="0.3">
      <c r="A19" t="s">
        <v>109</v>
      </c>
      <c r="B19" t="s">
        <v>107</v>
      </c>
      <c r="C19" t="s">
        <v>108</v>
      </c>
      <c r="D19">
        <v>2500</v>
      </c>
      <c r="E19" t="s">
        <v>57</v>
      </c>
    </row>
    <row r="20" spans="1:5" x14ac:dyDescent="0.3">
      <c r="A20" t="s">
        <v>112</v>
      </c>
      <c r="B20" t="s">
        <v>110</v>
      </c>
      <c r="C20" t="s">
        <v>111</v>
      </c>
      <c r="D20">
        <v>2700</v>
      </c>
      <c r="E20" t="s">
        <v>74</v>
      </c>
    </row>
    <row r="21" spans="1:5" x14ac:dyDescent="0.3">
      <c r="A21" t="s">
        <v>115</v>
      </c>
      <c r="B21" t="s">
        <v>113</v>
      </c>
      <c r="C21" t="s">
        <v>114</v>
      </c>
      <c r="D21">
        <v>4500</v>
      </c>
      <c r="E2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blacnk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Prachit Karde</dc:creator>
  <cp:lastModifiedBy>Prachit Karde</cp:lastModifiedBy>
  <dcterms:created xsi:type="dcterms:W3CDTF">2026-03-08T07:48:24Z</dcterms:created>
  <dcterms:modified xsi:type="dcterms:W3CDTF">2026-03-08T18:20:07Z</dcterms:modified>
</cp:coreProperties>
</file>